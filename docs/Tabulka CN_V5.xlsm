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\OcelisConfigurator\docs\"/>
    </mc:Choice>
  </mc:AlternateContent>
  <xr:revisionPtr revIDLastSave="0" documentId="13_ncr:1_{8CBB241E-6124-4155-A033-49842704853E}" xr6:coauthVersionLast="47" xr6:coauthVersionMax="47" xr10:uidLastSave="{00000000-0000-0000-0000-000000000000}"/>
  <bookViews>
    <workbookView xWindow="-90" yWindow="135" windowWidth="14685" windowHeight="20985" activeTab="1" xr2:uid="{61BC732E-F551-4A70-AD60-7BF91E44A121}"/>
  </bookViews>
  <sheets>
    <sheet name="Nesahat" sheetId="1" r:id="rId1"/>
    <sheet name="Výpočet" sheetId="2" r:id="rId2"/>
    <sheet name="nabidka tisk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O8" i="2" s="1"/>
  <c r="F18" i="3" s="1"/>
  <c r="F19" i="3"/>
  <c r="F21" i="3"/>
  <c r="H1" i="3" l="1"/>
  <c r="G30" i="1"/>
  <c r="F30" i="1"/>
  <c r="G27" i="1"/>
  <c r="G28" i="1"/>
  <c r="I28" i="1" s="1"/>
  <c r="G29" i="1"/>
  <c r="G31" i="1"/>
  <c r="G32" i="1"/>
  <c r="G33" i="1"/>
  <c r="G34" i="1"/>
  <c r="G35" i="1"/>
  <c r="G26" i="1"/>
  <c r="F27" i="1"/>
  <c r="F29" i="1"/>
  <c r="F31" i="1"/>
  <c r="F32" i="1"/>
  <c r="F33" i="1"/>
  <c r="F34" i="1"/>
  <c r="F35" i="1"/>
  <c r="F26" i="1"/>
  <c r="I13" i="2"/>
  <c r="I14" i="2"/>
  <c r="B17" i="1"/>
  <c r="I15" i="1"/>
  <c r="B16" i="1"/>
  <c r="B15" i="1"/>
  <c r="I16" i="2"/>
  <c r="B14" i="1"/>
  <c r="B13" i="1"/>
  <c r="B12" i="1"/>
  <c r="F10" i="1" s="1"/>
  <c r="B11" i="1"/>
  <c r="I26" i="1" l="1"/>
  <c r="I18" i="2"/>
  <c r="I29" i="1"/>
  <c r="I30" i="1"/>
  <c r="I27" i="1"/>
  <c r="O10" i="2" l="1"/>
  <c r="F20" i="3" s="1"/>
  <c r="O7" i="2"/>
  <c r="O12" i="2" l="1"/>
  <c r="F22" i="3" s="1"/>
  <c r="F17" i="3"/>
  <c r="F30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Jakub</author>
  </authors>
  <commentList>
    <comment ref="H1" authorId="0" shapeId="0" xr:uid="{D6A6A6AF-B09C-4B4C-BBA9-22C978C84448}">
      <text>
        <r>
          <rPr>
            <b/>
            <sz val="9"/>
            <color indexed="81"/>
            <rFont val="Tahoma"/>
            <family val="2"/>
            <charset val="238"/>
          </rPr>
          <t>Jakub:</t>
        </r>
        <r>
          <rPr>
            <sz val="9"/>
            <color indexed="81"/>
            <rFont val="Tahoma"/>
            <family val="2"/>
            <charset val="238"/>
          </rPr>
          <t xml:space="preserve">
akt datum + 30 dní</t>
        </r>
      </text>
    </comment>
    <comment ref="F22" authorId="0" shapeId="0" xr:uid="{ECE37C3F-298A-4175-AB91-59A0924EA970}">
      <text>
        <r>
          <rPr>
            <b/>
            <sz val="9"/>
            <color indexed="81"/>
            <rFont val="Tahoma"/>
            <family val="2"/>
            <charset val="238"/>
          </rPr>
          <t>Jakub:</t>
        </r>
        <r>
          <rPr>
            <sz val="9"/>
            <color indexed="81"/>
            <rFont val="Tahoma"/>
            <family val="2"/>
            <charset val="238"/>
          </rPr>
          <t xml:space="preserve">
5% z ceny konstrukce</t>
        </r>
      </text>
    </comment>
  </commentList>
</comments>
</file>

<file path=xl/sharedStrings.xml><?xml version="1.0" encoding="utf-8"?>
<sst xmlns="http://schemas.openxmlformats.org/spreadsheetml/2006/main" count="136" uniqueCount="104">
  <si>
    <t>sirka</t>
  </si>
  <si>
    <t>delka</t>
  </si>
  <si>
    <t>typ stavby</t>
  </si>
  <si>
    <t>RD</t>
  </si>
  <si>
    <t>garaz</t>
  </si>
  <si>
    <t>vestavek</t>
  </si>
  <si>
    <t>typ vazniku</t>
  </si>
  <si>
    <t>plochy</t>
  </si>
  <si>
    <t>sedlovy_15</t>
  </si>
  <si>
    <t>sedlovy_35</t>
  </si>
  <si>
    <t>sedlovy_45</t>
  </si>
  <si>
    <t>plochy 4x0,3</t>
  </si>
  <si>
    <t>plochy 5x0,3</t>
  </si>
  <si>
    <t>plochy 5x0,4</t>
  </si>
  <si>
    <t>plochy 6x0,4</t>
  </si>
  <si>
    <t>plochy 6x0,3</t>
  </si>
  <si>
    <t>plochy 8x0,3</t>
  </si>
  <si>
    <t>plochy 7x0,3</t>
  </si>
  <si>
    <t>plochy 4x0,4</t>
  </si>
  <si>
    <t>plochy 7x0,4</t>
  </si>
  <si>
    <t>plochy 8x0,4</t>
  </si>
  <si>
    <t>plochy 3x0,3</t>
  </si>
  <si>
    <t>plochy 3x0,4</t>
  </si>
  <si>
    <t>3m</t>
  </si>
  <si>
    <t>4m</t>
  </si>
  <si>
    <t>5m</t>
  </si>
  <si>
    <t>6m</t>
  </si>
  <si>
    <t>7m</t>
  </si>
  <si>
    <t>8m</t>
  </si>
  <si>
    <t>Typ stavby:</t>
  </si>
  <si>
    <t>Typ vazníků:</t>
  </si>
  <si>
    <t xml:space="preserve"> </t>
  </si>
  <si>
    <t>m</t>
  </si>
  <si>
    <t>kg</t>
  </si>
  <si>
    <t>Rozteč:</t>
  </si>
  <si>
    <t>mm</t>
  </si>
  <si>
    <t>vyska_steny</t>
  </si>
  <si>
    <t>delka_sten</t>
  </si>
  <si>
    <t>Váha vazníků:</t>
  </si>
  <si>
    <t>Výška stěn:</t>
  </si>
  <si>
    <t>Celk. délka stěn:</t>
  </si>
  <si>
    <t>Váha stěn:</t>
  </si>
  <si>
    <t>Materiál</t>
  </si>
  <si>
    <t>materiál</t>
  </si>
  <si>
    <t>C89x41x1</t>
  </si>
  <si>
    <t>C89x41x1,2</t>
  </si>
  <si>
    <t>C160x41x1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</si>
  <si>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</si>
  <si>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</si>
  <si>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</si>
  <si>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</si>
  <si>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</si>
  <si>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</si>
  <si>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</si>
  <si>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</si>
  <si>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</si>
  <si>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</si>
  <si>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Pole vazníků:</t>
  </si>
  <si>
    <t>Délka vazníků</t>
  </si>
  <si>
    <t>Šírka pole</t>
  </si>
  <si>
    <t>Celková váha:</t>
  </si>
  <si>
    <t>cena za kg:</t>
  </si>
  <si>
    <t>CENOVÁ NABÍDKA</t>
  </si>
  <si>
    <t>Název zakázky:</t>
  </si>
  <si>
    <t>xxxyyy vzorova nabidka</t>
  </si>
  <si>
    <t>Zhotovitel:</t>
  </si>
  <si>
    <t>OCELIS SYSTEM s.r.o.</t>
  </si>
  <si>
    <t>Františky Stránecké 165/8</t>
  </si>
  <si>
    <t>709 00 Ostrava</t>
  </si>
  <si>
    <t>robin.vasnovsky@ocelis.cz</t>
  </si>
  <si>
    <t>Objednatel:</t>
  </si>
  <si>
    <t>Investor</t>
  </si>
  <si>
    <t>Adresa 1</t>
  </si>
  <si>
    <t>Adresa 2</t>
  </si>
  <si>
    <t>investoruv@mail.cz</t>
  </si>
  <si>
    <t>Ocelová konstrukce OCELIS:</t>
  </si>
  <si>
    <t>Ocelová konstrukce silnostěnná:</t>
  </si>
  <si>
    <t>Opláštění:</t>
  </si>
  <si>
    <t>Montáž na stavbě:</t>
  </si>
  <si>
    <t>Manipulační technika:</t>
  </si>
  <si>
    <t>Spojovací materiál:</t>
  </si>
  <si>
    <t xml:space="preserve">Cena celkem: </t>
  </si>
  <si>
    <t>bez DPH</t>
  </si>
  <si>
    <t>Platnost cenové nabídky do:</t>
  </si>
  <si>
    <t>podminky</t>
  </si>
  <si>
    <t>slevy</t>
  </si>
  <si>
    <t xml:space="preserve">sankce </t>
  </si>
  <si>
    <t>a podobně</t>
  </si>
  <si>
    <t>kecy v kleci:</t>
  </si>
  <si>
    <t>cena montaz/kg</t>
  </si>
  <si>
    <t>cena konstrukce</t>
  </si>
  <si>
    <t>cena silnostěnná</t>
  </si>
  <si>
    <t>cena opláštění</t>
  </si>
  <si>
    <t>cena montáž</t>
  </si>
  <si>
    <t>manipulační tech</t>
  </si>
  <si>
    <t>spojak</t>
  </si>
  <si>
    <t>Doplnit věci zde ne na druhém listu!!!</t>
  </si>
  <si>
    <t xml:space="preserve">  </t>
  </si>
  <si>
    <t>cena SS oceli/kg</t>
  </si>
  <si>
    <t>Vstupní data:</t>
  </si>
  <si>
    <t>Pořet velkých otvorů (více než 2m)</t>
  </si>
  <si>
    <t>Váha SS oceli:</t>
  </si>
  <si>
    <t>Data stěn:</t>
  </si>
  <si>
    <t>Data vazníky: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</si>
</sst>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]##;\+##\ ###\ ###\ ###"/>
    <numFmt numFmtId="165" formatCode="#,##0\ &quot;Kč&quot;"/>
  </numFmts>
  <fonts count="13" x14ac:knownFonts="1">
    <font>
      <sz val="11"/>
      <color theme="1"/>
      <name val="Calibri"/>
      <family val="2"/>
      <charset val="238"/>
      <scheme val="minor"/>
    </font>
    <font>
      <sz val="10"/>
      <color rgb="FF000000"/>
      <name val="Courier New"/>
      <family val="3"/>
      <charset val="238"/>
    </font>
    <font>
      <sz val="10"/>
      <color rgb="FF0000FF"/>
      <name val="Courier New"/>
      <family val="3"/>
      <charset val="238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8"/>
      <color theme="1"/>
      <name val="Roboto"/>
      <charset val="238"/>
    </font>
    <font>
      <b/>
      <sz val="18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757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2" fontId="0" fillId="0" borderId="0" xfId="0" applyNumberFormat="1"/>
    <xf numFmtId="0" fontId="5" fillId="0" borderId="0" xfId="0" applyFont="1"/>
    <xf numFmtId="0" fontId="6" fillId="0" borderId="0" xfId="1"/>
    <xf numFmtId="22" fontId="0" fillId="0" borderId="0" xfId="0" applyNumberFormat="1"/>
    <xf numFmtId="14" fontId="0" fillId="0" borderId="0" xfId="0" applyNumberFormat="1"/>
    <xf numFmtId="0" fontId="7" fillId="2" borderId="0" xfId="0" applyFont="1" applyFill="1"/>
    <xf numFmtId="0" fontId="0" fillId="2" borderId="0" xfId="0" applyFill="1"/>
    <xf numFmtId="0" fontId="5" fillId="2" borderId="0" xfId="0" applyFont="1" applyFill="1"/>
    <xf numFmtId="0" fontId="0" fillId="0" borderId="1" xfId="0" applyBorder="1"/>
    <xf numFmtId="0" fontId="0" fillId="2" borderId="1" xfId="0" applyFill="1" applyBorder="1"/>
    <xf numFmtId="0" fontId="5" fillId="0" borderId="1" xfId="0" applyFont="1" applyBorder="1"/>
    <xf numFmtId="0" fontId="8" fillId="0" borderId="1" xfId="0" applyFont="1" applyBorder="1"/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0" fillId="0" borderId="12" xfId="0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12" xfId="0" applyBorder="1"/>
    <xf numFmtId="0" fontId="0" fillId="0" borderId="15" xfId="0" applyBorder="1"/>
    <xf numFmtId="0" fontId="0" fillId="0" borderId="21" xfId="0" applyBorder="1"/>
    <xf numFmtId="0" fontId="0" fillId="0" borderId="22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0" fillId="0" borderId="25" xfId="0" applyBorder="1" applyAlignment="1">
      <alignment wrapText="1"/>
    </xf>
    <xf numFmtId="0" fontId="0" fillId="0" borderId="26" xfId="0" applyBorder="1"/>
    <xf numFmtId="2" fontId="0" fillId="0" borderId="16" xfId="0" applyNumberFormat="1" applyBorder="1"/>
    <xf numFmtId="0" fontId="12" fillId="2" borderId="6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5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left"/>
    </xf>
    <xf numFmtId="165" fontId="9" fillId="2" borderId="0" xfId="0" applyNumberFormat="1" applyFont="1" applyFill="1" applyAlignment="1">
      <alignment horizontal="right"/>
    </xf>
    <xf numFmtId="0" fontId="9" fillId="2" borderId="0" xfId="0" applyFont="1" applyFill="1" applyAlignment="1">
      <alignment horizontal="right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7575"/>
      <color rgb="FFCC8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16</xdr:row>
          <xdr:rowOff>0</xdr:rowOff>
        </xdr:from>
        <xdr:to>
          <xdr:col>4</xdr:col>
          <xdr:colOff>238125</xdr:colOff>
          <xdr:row>18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200025</xdr:colOff>
          <xdr:row>14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Vypočítat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133351</xdr:colOff>
      <xdr:row>29</xdr:row>
      <xdr:rowOff>28501</xdr:rowOff>
    </xdr:from>
    <xdr:to>
      <xdr:col>6</xdr:col>
      <xdr:colOff>152401</xdr:colOff>
      <xdr:row>49</xdr:row>
      <xdr:rowOff>57977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050096-74A4-B6AD-911B-4B6E7B741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1" y="5848276"/>
          <a:ext cx="3981450" cy="3839476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29</xdr:row>
      <xdr:rowOff>28637</xdr:rowOff>
    </xdr:from>
    <xdr:to>
      <xdr:col>13</xdr:col>
      <xdr:colOff>95863</xdr:colOff>
      <xdr:row>49</xdr:row>
      <xdr:rowOff>124449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0B6615-CFE3-25FA-D5F2-7C362C0E2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8800" y="5848412"/>
          <a:ext cx="3839188" cy="3905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 2013–2022">
  <a:themeElements>
    <a:clrScheme name="Office 2013 –⁠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⁠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⁠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bin.vasnovsky@ocelis.cz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9F0F1-8324-4F8D-B7F8-492AA7E30C45}">
  <sheetPr codeName="Sheet1"/>
  <dimension ref="A1:U37"/>
  <sheetViews>
    <sheetView workbookViewId="0">
      <selection activeCell="D40" sqref="D40"/>
    </sheetView>
  </sheetViews>
  <sheetFormatPr defaultRowHeight="15" x14ac:dyDescent="0.25"/>
  <cols>
    <col min="1" max="1" width="11.7109375" bestFit="1" customWidth="1"/>
    <col min="2" max="2" width="11.85546875" bestFit="1" customWidth="1"/>
    <col min="5" max="5" width="11.85546875" bestFit="1" customWidth="1"/>
  </cols>
  <sheetData>
    <row r="1" spans="1:21" x14ac:dyDescent="0.25">
      <c r="A1">
        <v>840</v>
      </c>
      <c r="B1">
        <v>433.5</v>
      </c>
    </row>
    <row r="2" spans="1:21" x14ac:dyDescent="0.25">
      <c r="A2" s="3">
        <v>2</v>
      </c>
      <c r="B2">
        <v>53.678509666345988</v>
      </c>
      <c r="H2" t="s">
        <v>8</v>
      </c>
      <c r="K2" t="s">
        <v>9</v>
      </c>
      <c r="N2" t="s">
        <v>10</v>
      </c>
    </row>
    <row r="3" spans="1:21" x14ac:dyDescent="0.25">
      <c r="B3" t="s">
        <v>21</v>
      </c>
      <c r="C3">
        <v>11</v>
      </c>
      <c r="E3" t="s">
        <v>22</v>
      </c>
      <c r="F3">
        <v>12.133333329999999</v>
      </c>
      <c r="H3" t="s">
        <v>23</v>
      </c>
      <c r="I3">
        <v>12.733333330000001</v>
      </c>
      <c r="K3" t="s">
        <v>23</v>
      </c>
      <c r="L3">
        <v>15.866666670000001</v>
      </c>
      <c r="N3" t="s">
        <v>23</v>
      </c>
      <c r="O3">
        <v>18.266666669999999</v>
      </c>
    </row>
    <row r="4" spans="1:21" x14ac:dyDescent="0.25">
      <c r="B4" t="s">
        <v>11</v>
      </c>
      <c r="C4">
        <v>14.6</v>
      </c>
      <c r="E4" t="s">
        <v>18</v>
      </c>
      <c r="F4">
        <v>16.06666667</v>
      </c>
      <c r="H4" t="s">
        <v>24</v>
      </c>
      <c r="I4">
        <v>17.666666670000001</v>
      </c>
      <c r="K4" t="s">
        <v>24</v>
      </c>
      <c r="L4">
        <v>23.2</v>
      </c>
      <c r="N4" t="s">
        <v>24</v>
      </c>
      <c r="O4">
        <v>27.333333329999999</v>
      </c>
      <c r="Q4" t="s">
        <v>3</v>
      </c>
      <c r="S4" t="s">
        <v>7</v>
      </c>
      <c r="U4" t="s">
        <v>44</v>
      </c>
    </row>
    <row r="5" spans="1:21" x14ac:dyDescent="0.25">
      <c r="B5" t="s">
        <v>12</v>
      </c>
      <c r="C5">
        <v>18.2</v>
      </c>
      <c r="E5" t="s">
        <v>13</v>
      </c>
      <c r="F5">
        <v>19.93333333</v>
      </c>
      <c r="H5" t="s">
        <v>25</v>
      </c>
      <c r="I5">
        <v>22.466666669999999</v>
      </c>
      <c r="K5" t="s">
        <v>25</v>
      </c>
      <c r="L5">
        <v>31</v>
      </c>
      <c r="N5" t="s">
        <v>25</v>
      </c>
      <c r="O5">
        <v>37.333333330000002</v>
      </c>
      <c r="Q5" t="s">
        <v>5</v>
      </c>
      <c r="S5" t="s">
        <v>8</v>
      </c>
      <c r="U5" t="s">
        <v>45</v>
      </c>
    </row>
    <row r="6" spans="1:21" x14ac:dyDescent="0.25">
      <c r="B6" t="s">
        <v>15</v>
      </c>
      <c r="C6">
        <v>21.733333330000001</v>
      </c>
      <c r="E6" t="s">
        <v>14</v>
      </c>
      <c r="F6">
        <v>23.866666670000001</v>
      </c>
      <c r="H6" t="s">
        <v>26</v>
      </c>
      <c r="I6">
        <v>27.666666670000001</v>
      </c>
      <c r="K6" t="s">
        <v>26</v>
      </c>
      <c r="L6">
        <v>40</v>
      </c>
      <c r="N6" t="s">
        <v>26</v>
      </c>
      <c r="O6">
        <v>49.133333329999999</v>
      </c>
      <c r="Q6" t="s">
        <v>4</v>
      </c>
      <c r="S6" t="s">
        <v>9</v>
      </c>
      <c r="U6" t="s">
        <v>46</v>
      </c>
    </row>
    <row r="7" spans="1:21" x14ac:dyDescent="0.25">
      <c r="B7" t="s">
        <v>17</v>
      </c>
      <c r="C7">
        <v>25.333333329999999</v>
      </c>
      <c r="E7" t="s">
        <v>19</v>
      </c>
      <c r="F7">
        <v>27.8</v>
      </c>
      <c r="H7" t="s">
        <v>27</v>
      </c>
      <c r="I7">
        <v>33.799999999999997</v>
      </c>
      <c r="K7" t="s">
        <v>27</v>
      </c>
      <c r="L7">
        <v>50.8</v>
      </c>
      <c r="N7" t="s">
        <v>27</v>
      </c>
      <c r="O7">
        <v>63.266666669999999</v>
      </c>
      <c r="S7" t="s">
        <v>10</v>
      </c>
    </row>
    <row r="8" spans="1:21" x14ac:dyDescent="0.25">
      <c r="B8" t="s">
        <v>16</v>
      </c>
      <c r="C8">
        <v>28.93333333</v>
      </c>
      <c r="E8" t="s">
        <v>20</v>
      </c>
      <c r="F8">
        <v>31.733333330000001</v>
      </c>
      <c r="H8" t="s">
        <v>28</v>
      </c>
      <c r="I8">
        <v>40.4</v>
      </c>
      <c r="K8" t="s">
        <v>28</v>
      </c>
      <c r="L8">
        <v>62.733333330000001</v>
      </c>
      <c r="N8" t="s">
        <v>28</v>
      </c>
      <c r="O8">
        <v>78.933333329999996</v>
      </c>
    </row>
    <row r="9" spans="1:21" x14ac:dyDescent="0.25">
      <c r="H9" s="1"/>
    </row>
    <row r="10" spans="1:21" x14ac:dyDescent="0.25">
      <c r="F10">
        <f>C6*B12*2</f>
        <v>651.99999990000003</v>
      </c>
      <c r="H10" s="2"/>
    </row>
    <row r="11" spans="1:21" x14ac:dyDescent="0.25">
      <c r="A11" t="s">
        <v>0</v>
      </c>
      <c r="B11" s="3">
        <f>Výpočet!D9</f>
        <v>150</v>
      </c>
      <c r="H11" s="1"/>
    </row>
    <row r="12" spans="1:21" x14ac:dyDescent="0.25">
      <c r="A12" t="s">
        <v>1</v>
      </c>
      <c r="B12">
        <f>Výpočet!D10</f>
        <v>15</v>
      </c>
      <c r="H12" s="2"/>
    </row>
    <row r="13" spans="1:21" x14ac:dyDescent="0.25">
      <c r="A13" t="s">
        <v>2</v>
      </c>
      <c r="B13" t="str">
        <f>Výpočet!D5</f>
        <v>RD</v>
      </c>
      <c r="H13" s="2"/>
    </row>
    <row r="14" spans="1:21" x14ac:dyDescent="0.25">
      <c r="A14" t="s">
        <v>6</v>
      </c>
      <c r="B14" t="str">
        <f>Výpočet!D6</f>
        <v>sedlovy_45</v>
      </c>
      <c r="H14" s="1"/>
    </row>
    <row r="15" spans="1:21" x14ac:dyDescent="0.25">
      <c r="A15" t="s">
        <v>36</v>
      </c>
      <c r="B15">
        <f>Výpočet!D14</f>
        <v>2.9</v>
      </c>
      <c r="H15" s="1">
        <v>48.5</v>
      </c>
      <c r="I15">
        <f>(30/2.5)*H15</f>
        <v>582</v>
      </c>
    </row>
    <row r="16" spans="1:21" x14ac:dyDescent="0.25">
      <c r="A16" t="s">
        <v>37</v>
      </c>
      <c r="B16">
        <f>Výpočet!D15</f>
        <v>28</v>
      </c>
      <c r="H16" s="2"/>
    </row>
    <row r="17" spans="1:10" x14ac:dyDescent="0.25">
      <c r="A17" t="s">
        <v>43</v>
      </c>
      <c r="B17" t="str">
        <f>Výpočet!D8</f>
        <v>C89x41x1</v>
      </c>
      <c r="H17" s="1"/>
    </row>
    <row r="18" spans="1:10" x14ac:dyDescent="0.25">
      <c r="H18" s="2"/>
    </row>
    <row r="19" spans="1:10" x14ac:dyDescent="0.25">
      <c r="H19" s="2"/>
    </row>
    <row r="20" spans="1:10" x14ac:dyDescent="0.25">
      <c r="H20" s="1"/>
    </row>
    <row r="21" spans="1:10" x14ac:dyDescent="0.25">
      <c r="H21" s="1"/>
    </row>
    <row r="22" spans="1:10" x14ac:dyDescent="0.25">
      <c r="H22" s="2"/>
    </row>
    <row r="23" spans="1:10" x14ac:dyDescent="0.25">
      <c r="B23">
        <v>434</v>
      </c>
      <c r="H23" s="1"/>
    </row>
    <row r="24" spans="1:10" x14ac:dyDescent="0.25">
      <c r="H24" s="2"/>
    </row>
    <row r="25" spans="1:10" x14ac:dyDescent="0.25">
      <c r="H25" s="2"/>
    </row>
    <row r="26" spans="1:10" x14ac:dyDescent="0.25">
      <c r="B26">
        <v>5</v>
      </c>
      <c r="E26" t="s">
        <v>47</v>
      </c>
      <c r="F26">
        <f>Výpočet!D19</f>
        <v>7</v>
      </c>
      <c r="G26">
        <f>Výpočet!E19</f>
        <v>7</v>
      </c>
      <c r="H26" s="1"/>
      <c r="I26">
        <f>F26*G26</f>
        <v>49</v>
      </c>
      <c r="J26">
        <v>546</v>
      </c>
    </row>
    <row r="27" spans="1:10" x14ac:dyDescent="0.25">
      <c r="B27">
        <v>840</v>
      </c>
      <c r="E27" t="s">
        <v>48</v>
      </c>
      <c r="F27">
        <f>Výpočet!D20</f>
        <v>0</v>
      </c>
      <c r="G27">
        <f>Výpočet!E20</f>
        <v>0</v>
      </c>
      <c r="H27" s="1"/>
      <c r="I27">
        <f t="shared" ref="I27:I30" si="0">F27*G27</f>
        <v>0</v>
      </c>
      <c r="J27">
        <v>652</v>
      </c>
    </row>
    <row r="28" spans="1:10" x14ac:dyDescent="0.25">
      <c r="E28" t="s">
        <v>49</v>
      </c>
      <c r="F28">
        <v>5</v>
      </c>
      <c r="G28">
        <f>Výpočet!E21</f>
        <v>0</v>
      </c>
      <c r="H28" s="2"/>
      <c r="I28">
        <f t="shared" si="0"/>
        <v>0</v>
      </c>
      <c r="J28">
        <v>760</v>
      </c>
    </row>
    <row r="29" spans="1:10" x14ac:dyDescent="0.25">
      <c r="B29">
        <v>10</v>
      </c>
      <c r="E29" t="s">
        <v>50</v>
      </c>
      <c r="F29">
        <f>Výpočet!D22</f>
        <v>0</v>
      </c>
      <c r="G29">
        <f>Výpočet!E22</f>
        <v>0</v>
      </c>
      <c r="H29" s="1"/>
      <c r="I29">
        <f t="shared" si="0"/>
        <v>0</v>
      </c>
      <c r="J29">
        <v>868</v>
      </c>
    </row>
    <row r="30" spans="1:10" x14ac:dyDescent="0.25">
      <c r="E30" t="s">
        <v>51</v>
      </c>
      <c r="F30">
        <f>Výpočet!D23</f>
        <v>0</v>
      </c>
      <c r="G30">
        <f>Výpočet!E23</f>
        <v>0</v>
      </c>
      <c r="H30" s="2"/>
      <c r="I30">
        <f t="shared" si="0"/>
        <v>0</v>
      </c>
    </row>
    <row r="31" spans="1:10" x14ac:dyDescent="0.25">
      <c r="E31" t="s">
        <v>52</v>
      </c>
      <c r="F31">
        <f>Výpočet!D24</f>
        <v>0</v>
      </c>
      <c r="G31">
        <f>Výpočet!E24</f>
        <v>0</v>
      </c>
      <c r="H31" s="2"/>
    </row>
    <row r="32" spans="1:10" x14ac:dyDescent="0.25">
      <c r="E32" t="s">
        <v>53</v>
      </c>
      <c r="F32">
        <f>Výpočet!D25</f>
        <v>0</v>
      </c>
      <c r="G32">
        <f>Výpočet!E25</f>
        <v>0</v>
      </c>
      <c r="H32" s="1"/>
    </row>
    <row r="33" spans="5:8" x14ac:dyDescent="0.25">
      <c r="E33" t="s">
        <v>54</v>
      </c>
      <c r="F33">
        <f>Výpočet!D26</f>
        <v>0</v>
      </c>
      <c r="G33">
        <f>Výpočet!E26</f>
        <v>0</v>
      </c>
      <c r="H33" s="1"/>
    </row>
    <row r="34" spans="5:8" x14ac:dyDescent="0.25">
      <c r="E34" t="s">
        <v>55</v>
      </c>
      <c r="F34">
        <f>Výpočet!D27</f>
        <v>0</v>
      </c>
      <c r="G34">
        <f>Výpočet!E27</f>
        <v>0</v>
      </c>
      <c r="H34" s="2"/>
    </row>
    <row r="35" spans="5:8" x14ac:dyDescent="0.25">
      <c r="E35" t="s">
        <v>56</v>
      </c>
      <c r="F35">
        <f>Výpočet!D28</f>
        <v>0</v>
      </c>
      <c r="G35">
        <f>Výpočet!E28</f>
        <v>0</v>
      </c>
      <c r="H35" s="1"/>
    </row>
    <row r="36" spans="5:8" x14ac:dyDescent="0.25">
      <c r="H36" s="2"/>
    </row>
    <row r="37" spans="5:8" x14ac:dyDescent="0.25">
      <c r="H37" s="2"/>
    </row>
  </sheetData>
  <dataConsolidate/>
  <phoneticPr fontId="4" type="noConversion"/>
  <dataValidations disablePrompts="1" count="2">
    <dataValidation type="list" allowBlank="1" showInputMessage="1" showErrorMessage="1" sqref="B13" xr:uid="{D7FC2686-72C4-4778-9162-645E4F8A1E27}">
      <formula1>$Q$4:$Q$6</formula1>
    </dataValidation>
    <dataValidation type="list" allowBlank="1" showInputMessage="1" showErrorMessage="1" sqref="B14" xr:uid="{224A3C3C-7B89-49F6-9081-CAC0D7E132F5}">
      <formula1>$S$4:$S$7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m">
                <anchor moveWithCells="1" siz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238125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0F5C-10ED-42D9-B255-E8688586A948}">
  <sheetPr codeName="Sheet2"/>
  <dimension ref="B3:P28"/>
  <sheetViews>
    <sheetView tabSelected="1" workbookViewId="0">
      <selection activeCell="D20" sqref="D20"/>
    </sheetView>
  </sheetViews>
  <sheetFormatPr defaultRowHeight="15" x14ac:dyDescent="0.25"/>
  <cols>
    <col min="3" max="3" width="18.85546875" customWidth="1"/>
    <col min="4" max="4" width="13.140625" bestFit="1" customWidth="1"/>
    <col min="7" max="7" width="13.140625" bestFit="1" customWidth="1"/>
    <col min="8" max="8" width="13.28515625" bestFit="1" customWidth="1"/>
    <col min="14" max="14" width="16.140625" bestFit="1" customWidth="1"/>
  </cols>
  <sheetData>
    <row r="3" spans="2:16" ht="15.75" thickBot="1" x14ac:dyDescent="0.3"/>
    <row r="4" spans="2:16" ht="15.75" thickBot="1" x14ac:dyDescent="0.3">
      <c r="C4" s="47" t="s">
        <v>99</v>
      </c>
      <c r="D4" s="48"/>
    </row>
    <row r="5" spans="2:16" ht="15.75" thickBot="1" x14ac:dyDescent="0.3">
      <c r="C5" s="42" t="s">
        <v>29</v>
      </c>
      <c r="D5" s="38" t="s">
        <v>3</v>
      </c>
    </row>
    <row r="6" spans="2:16" ht="15.75" thickBot="1" x14ac:dyDescent="0.3">
      <c r="C6" s="43" t="s">
        <v>30</v>
      </c>
      <c r="D6" s="39" t="s">
        <v>10</v>
      </c>
      <c r="N6" s="35" t="s">
        <v>96</v>
      </c>
      <c r="O6" s="21"/>
      <c r="P6" s="22"/>
    </row>
    <row r="7" spans="2:16" ht="30" customHeight="1" x14ac:dyDescent="0.25">
      <c r="C7" s="44" t="s">
        <v>100</v>
      </c>
      <c r="D7" s="40">
        <v>4</v>
      </c>
      <c r="N7" s="17" t="s">
        <v>90</v>
      </c>
      <c r="O7">
        <f>I18*D9</f>
        <v>288945</v>
      </c>
      <c r="P7" s="18"/>
    </row>
    <row r="8" spans="2:16" x14ac:dyDescent="0.25">
      <c r="B8" t="s">
        <v>31</v>
      </c>
      <c r="C8" s="43" t="s">
        <v>42</v>
      </c>
      <c r="D8" s="40" t="s">
        <v>44</v>
      </c>
      <c r="N8" s="17" t="s">
        <v>91</v>
      </c>
      <c r="O8">
        <f>I15*D11</f>
        <v>78336</v>
      </c>
      <c r="P8" s="18"/>
    </row>
    <row r="9" spans="2:16" x14ac:dyDescent="0.25">
      <c r="C9" s="43" t="s">
        <v>61</v>
      </c>
      <c r="D9" s="40">
        <v>150</v>
      </c>
      <c r="N9" s="17" t="s">
        <v>92</v>
      </c>
      <c r="P9" s="18"/>
    </row>
    <row r="10" spans="2:16" x14ac:dyDescent="0.25">
      <c r="C10" s="43" t="s">
        <v>89</v>
      </c>
      <c r="D10" s="40">
        <v>15</v>
      </c>
      <c r="N10" s="17" t="s">
        <v>93</v>
      </c>
      <c r="O10">
        <f>I18*D10</f>
        <v>28894.5</v>
      </c>
      <c r="P10" s="18"/>
    </row>
    <row r="11" spans="2:16" ht="15.75" thickBot="1" x14ac:dyDescent="0.3">
      <c r="C11" s="45" t="s">
        <v>98</v>
      </c>
      <c r="D11" s="41">
        <v>120</v>
      </c>
      <c r="N11" s="17" t="s">
        <v>94</v>
      </c>
      <c r="P11" s="18"/>
    </row>
    <row r="12" spans="2:16" ht="15.75" thickBot="1" x14ac:dyDescent="0.3">
      <c r="N12" s="19" t="s">
        <v>95</v>
      </c>
      <c r="O12" s="11">
        <f>O7*0.05</f>
        <v>14447.25</v>
      </c>
      <c r="P12" s="20"/>
    </row>
    <row r="13" spans="2:16" ht="15.75" thickBot="1" x14ac:dyDescent="0.3">
      <c r="C13" s="49" t="s">
        <v>102</v>
      </c>
      <c r="D13" s="50"/>
      <c r="E13" s="51"/>
      <c r="H13" t="s">
        <v>41</v>
      </c>
      <c r="I13">
        <f>Nesahat!B1</f>
        <v>433.5</v>
      </c>
      <c r="J13" t="s">
        <v>33</v>
      </c>
    </row>
    <row r="14" spans="2:16" x14ac:dyDescent="0.25">
      <c r="C14" s="37" t="s">
        <v>39</v>
      </c>
      <c r="D14" s="46">
        <v>2.9</v>
      </c>
      <c r="E14" s="31" t="s">
        <v>32</v>
      </c>
      <c r="H14" t="s">
        <v>38</v>
      </c>
      <c r="I14">
        <f>Nesahat!A1</f>
        <v>840</v>
      </c>
      <c r="J14" t="s">
        <v>33</v>
      </c>
    </row>
    <row r="15" spans="2:16" ht="15.75" thickBot="1" x14ac:dyDescent="0.3">
      <c r="C15" s="36" t="s">
        <v>40</v>
      </c>
      <c r="D15" s="27">
        <v>28</v>
      </c>
      <c r="E15" s="28" t="s">
        <v>32</v>
      </c>
      <c r="H15" t="s">
        <v>101</v>
      </c>
      <c r="I15">
        <f>D7*8*20.4</f>
        <v>652.79999999999995</v>
      </c>
      <c r="J15" t="s">
        <v>33</v>
      </c>
    </row>
    <row r="16" spans="2:16" ht="15.75" thickBot="1" x14ac:dyDescent="0.3">
      <c r="H16" t="s">
        <v>34</v>
      </c>
      <c r="I16">
        <f>IF(Nesahat!A2=2,500,625)</f>
        <v>500</v>
      </c>
      <c r="J16" t="s">
        <v>35</v>
      </c>
    </row>
    <row r="17" spans="3:11" ht="15.75" thickBot="1" x14ac:dyDescent="0.3">
      <c r="C17" s="49" t="s">
        <v>103</v>
      </c>
      <c r="D17" s="50"/>
      <c r="E17" s="51"/>
    </row>
    <row r="18" spans="3:11" ht="15.75" thickBot="1" x14ac:dyDescent="0.3">
      <c r="C18" s="32" t="s">
        <v>57</v>
      </c>
      <c r="D18" s="33" t="s">
        <v>58</v>
      </c>
      <c r="E18" s="34" t="s">
        <v>59</v>
      </c>
      <c r="H18" s="4" t="s">
        <v>60</v>
      </c>
      <c r="I18" s="4">
        <f>I13+I14+I15</f>
        <v>1926.3</v>
      </c>
      <c r="J18" s="4" t="s">
        <v>33</v>
      </c>
    </row>
    <row r="19" spans="3:11" x14ac:dyDescent="0.25">
      <c r="C19" s="29" t="s">
        <v>47</v>
      </c>
      <c r="D19" s="30">
        <v>7</v>
      </c>
      <c r="E19" s="31">
        <v>7</v>
      </c>
    </row>
    <row r="20" spans="3:11" x14ac:dyDescent="0.25">
      <c r="C20" s="24" t="s">
        <v>48</v>
      </c>
      <c r="D20" s="23"/>
      <c r="E20" s="25"/>
    </row>
    <row r="21" spans="3:11" x14ac:dyDescent="0.25">
      <c r="C21" s="24" t="s">
        <v>49</v>
      </c>
      <c r="D21" s="23"/>
      <c r="E21" s="25"/>
      <c r="K21" t="s">
        <v>97</v>
      </c>
    </row>
    <row r="22" spans="3:11" x14ac:dyDescent="0.25">
      <c r="C22" s="24" t="s">
        <v>50</v>
      </c>
      <c r="D22" s="23"/>
      <c r="E22" s="25"/>
    </row>
    <row r="23" spans="3:11" x14ac:dyDescent="0.25">
      <c r="C23" s="24" t="s">
        <v>51</v>
      </c>
      <c r="D23" s="23"/>
      <c r="E23" s="25"/>
    </row>
    <row r="24" spans="3:11" x14ac:dyDescent="0.25">
      <c r="C24" s="24" t="s">
        <v>52</v>
      </c>
      <c r="D24" s="23"/>
      <c r="E24" s="25"/>
    </row>
    <row r="25" spans="3:11" x14ac:dyDescent="0.25">
      <c r="C25" s="24" t="s">
        <v>53</v>
      </c>
      <c r="D25" s="23"/>
      <c r="E25" s="25"/>
    </row>
    <row r="26" spans="3:11" x14ac:dyDescent="0.25">
      <c r="C26" s="24" t="s">
        <v>54</v>
      </c>
      <c r="D26" s="23"/>
      <c r="E26" s="25"/>
    </row>
    <row r="27" spans="3:11" x14ac:dyDescent="0.25">
      <c r="C27" s="24" t="s">
        <v>55</v>
      </c>
      <c r="D27" s="23"/>
      <c r="E27" s="25"/>
    </row>
    <row r="28" spans="3:11" ht="15.75" thickBot="1" x14ac:dyDescent="0.3">
      <c r="C28" s="26" t="s">
        <v>56</v>
      </c>
      <c r="D28" s="27"/>
      <c r="E28" s="28"/>
    </row>
  </sheetData>
  <mergeCells count="3">
    <mergeCell ref="C4:D4"/>
    <mergeCell ref="C13:E13"/>
    <mergeCell ref="C17:E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heet1.m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200025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518183-4CEC-42AC-B057-507C5A128630}">
          <x14:formula1>
            <xm:f>Nesahat!$Q$4:$Q$6</xm:f>
          </x14:formula1>
          <xm:sqref>D5</xm:sqref>
        </x14:dataValidation>
        <x14:dataValidation type="list" allowBlank="1" showInputMessage="1" showErrorMessage="1" xr:uid="{4AA73419-7050-48ED-8947-2DBC07A9A2FA}">
          <x14:formula1>
            <xm:f>Nesahat!$S$4:$S$7</xm:f>
          </x14:formula1>
          <xm:sqref>D6</xm:sqref>
        </x14:dataValidation>
        <x14:dataValidation type="list" allowBlank="1" showInputMessage="1" showErrorMessage="1" xr:uid="{F959C1B3-D2B1-49BF-95B2-A2FC8B649FA6}">
          <x14:formula1>
            <xm:f>Nesahat!$U$4:$U$6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6A31-AE8C-44F4-B78D-3A1E5D5813EA}">
  <dimension ref="A1:I41"/>
  <sheetViews>
    <sheetView view="pageLayout" zoomScaleNormal="100" workbookViewId="0">
      <selection activeCell="I17" sqref="I17"/>
    </sheetView>
  </sheetViews>
  <sheetFormatPr defaultRowHeight="15" x14ac:dyDescent="0.25"/>
  <cols>
    <col min="1" max="1" width="9.140625" customWidth="1"/>
    <col min="5" max="7" width="9.140625" customWidth="1"/>
    <col min="9" max="9" width="9.140625" customWidth="1"/>
  </cols>
  <sheetData>
    <row r="1" spans="1:9" ht="34.5" customHeight="1" thickBot="1" x14ac:dyDescent="0.4">
      <c r="A1" s="14" t="s">
        <v>62</v>
      </c>
      <c r="B1" s="11"/>
      <c r="C1" s="11"/>
      <c r="D1" s="11"/>
      <c r="E1" s="11"/>
      <c r="F1" s="57" t="s">
        <v>83</v>
      </c>
      <c r="G1" s="57"/>
      <c r="H1" s="56">
        <f ca="1">TODAY()+30</f>
        <v>45980</v>
      </c>
      <c r="I1" s="56"/>
    </row>
    <row r="3" spans="1:9" ht="18.75" x14ac:dyDescent="0.3">
      <c r="A3" s="8" t="s">
        <v>63</v>
      </c>
      <c r="B3" s="9"/>
      <c r="C3" s="9"/>
      <c r="D3" s="9"/>
      <c r="E3" s="9"/>
      <c r="F3" s="8" t="s">
        <v>64</v>
      </c>
      <c r="G3" s="9"/>
      <c r="H3" s="9"/>
      <c r="I3" s="9"/>
    </row>
    <row r="5" spans="1:9" x14ac:dyDescent="0.25">
      <c r="A5" s="4" t="s">
        <v>65</v>
      </c>
      <c r="F5" s="4" t="s">
        <v>70</v>
      </c>
    </row>
    <row r="6" spans="1:9" x14ac:dyDescent="0.25">
      <c r="A6" t="s">
        <v>66</v>
      </c>
      <c r="F6" t="s">
        <v>71</v>
      </c>
    </row>
    <row r="7" spans="1:9" x14ac:dyDescent="0.25">
      <c r="A7" t="s">
        <v>67</v>
      </c>
      <c r="F7" t="s">
        <v>72</v>
      </c>
    </row>
    <row r="8" spans="1:9" x14ac:dyDescent="0.25">
      <c r="A8" t="s">
        <v>68</v>
      </c>
      <c r="F8" t="s">
        <v>73</v>
      </c>
      <c r="I8" s="6"/>
    </row>
    <row r="9" spans="1:9" x14ac:dyDescent="0.25">
      <c r="A9" s="5" t="s">
        <v>69</v>
      </c>
      <c r="F9" t="s">
        <v>74</v>
      </c>
    </row>
    <row r="10" spans="1:9" x14ac:dyDescent="0.25">
      <c r="A10" s="53">
        <v>420776412812</v>
      </c>
      <c r="B10" s="53"/>
      <c r="F10" s="53">
        <v>420123456789</v>
      </c>
      <c r="G10" s="53"/>
    </row>
    <row r="13" spans="1:9" x14ac:dyDescent="0.25">
      <c r="E13" s="7"/>
    </row>
    <row r="15" spans="1:9" x14ac:dyDescent="0.25">
      <c r="E15" s="7"/>
    </row>
    <row r="17" spans="1:9" x14ac:dyDescent="0.25">
      <c r="B17" t="s">
        <v>75</v>
      </c>
      <c r="F17" s="52">
        <f>CEILING(Výpočet!O7,100)</f>
        <v>289000</v>
      </c>
      <c r="G17" s="52"/>
    </row>
    <row r="18" spans="1:9" x14ac:dyDescent="0.25">
      <c r="B18" t="s">
        <v>76</v>
      </c>
      <c r="F18" s="52">
        <f>CEILING(Výpočet!O8,100)</f>
        <v>78400</v>
      </c>
      <c r="G18" s="52"/>
    </row>
    <row r="19" spans="1:9" x14ac:dyDescent="0.25">
      <c r="B19" t="s">
        <v>77</v>
      </c>
      <c r="F19" s="52">
        <f>CEILING(Výpočet!O9,100)</f>
        <v>0</v>
      </c>
      <c r="G19" s="52"/>
    </row>
    <row r="20" spans="1:9" x14ac:dyDescent="0.25">
      <c r="B20" t="s">
        <v>78</v>
      </c>
      <c r="F20" s="52">
        <f>CEILING(Výpočet!O10,100)</f>
        <v>28900</v>
      </c>
      <c r="G20" s="52"/>
    </row>
    <row r="21" spans="1:9" x14ac:dyDescent="0.25">
      <c r="B21" t="s">
        <v>79</v>
      </c>
      <c r="F21" s="52">
        <f>CEILING(Výpočet!O11,100)</f>
        <v>0</v>
      </c>
      <c r="G21" s="52"/>
    </row>
    <row r="22" spans="1:9" x14ac:dyDescent="0.25">
      <c r="B22" t="s">
        <v>80</v>
      </c>
      <c r="F22" s="52">
        <f>CEILING(Výpočet!O12,100)</f>
        <v>14500</v>
      </c>
      <c r="G22" s="52"/>
    </row>
    <row r="28" spans="1:9" ht="15.75" thickBot="1" x14ac:dyDescent="0.3">
      <c r="A28" s="11"/>
      <c r="B28" s="11"/>
      <c r="C28" s="11"/>
      <c r="D28" s="11"/>
      <c r="E28" s="11"/>
      <c r="F28" s="11"/>
      <c r="G28" s="11"/>
      <c r="H28" s="11"/>
      <c r="I28" s="11"/>
    </row>
    <row r="29" spans="1:9" x14ac:dyDescent="0.25">
      <c r="A29" s="9"/>
      <c r="B29" s="9"/>
      <c r="C29" s="9"/>
      <c r="D29" s="9"/>
      <c r="E29" s="9"/>
      <c r="F29" s="9"/>
      <c r="G29" s="9"/>
      <c r="H29" s="9"/>
      <c r="I29" s="9"/>
    </row>
    <row r="30" spans="1:9" ht="23.25" x14ac:dyDescent="0.35">
      <c r="A30" s="10"/>
      <c r="B30" s="15" t="s">
        <v>81</v>
      </c>
      <c r="C30" s="15"/>
      <c r="D30" s="15"/>
      <c r="E30" s="15"/>
      <c r="F30" s="54">
        <f>SUM(F17:G27)</f>
        <v>410800</v>
      </c>
      <c r="G30" s="55"/>
      <c r="H30" s="16" t="s">
        <v>82</v>
      </c>
      <c r="I30" s="10"/>
    </row>
    <row r="31" spans="1:9" ht="15.75" thickBot="1" x14ac:dyDescent="0.3">
      <c r="A31" s="12"/>
      <c r="B31" s="12"/>
      <c r="C31" s="12"/>
      <c r="D31" s="12"/>
      <c r="E31" s="12"/>
      <c r="F31" s="12"/>
      <c r="G31" s="12"/>
      <c r="H31" s="12"/>
      <c r="I31" s="12"/>
    </row>
    <row r="37" spans="2:8" ht="15.75" thickBot="1" x14ac:dyDescent="0.3">
      <c r="B37" s="13" t="s">
        <v>88</v>
      </c>
      <c r="C37" s="11"/>
      <c r="D37" s="11"/>
      <c r="E37" s="11"/>
      <c r="F37" s="11"/>
      <c r="G37" s="11"/>
      <c r="H37" s="11"/>
    </row>
    <row r="38" spans="2:8" x14ac:dyDescent="0.25">
      <c r="B38" t="s">
        <v>84</v>
      </c>
    </row>
    <row r="39" spans="2:8" x14ac:dyDescent="0.25">
      <c r="B39" t="s">
        <v>85</v>
      </c>
    </row>
    <row r="40" spans="2:8" x14ac:dyDescent="0.25">
      <c r="B40" t="s">
        <v>86</v>
      </c>
    </row>
    <row r="41" spans="2:8" x14ac:dyDescent="0.25">
      <c r="B41" t="s">
        <v>87</v>
      </c>
    </row>
  </sheetData>
  <mergeCells count="11">
    <mergeCell ref="H1:I1"/>
    <mergeCell ref="F18:G18"/>
    <mergeCell ref="F19:G19"/>
    <mergeCell ref="F20:G20"/>
    <mergeCell ref="F21:G21"/>
    <mergeCell ref="F1:G1"/>
    <mergeCell ref="F17:G17"/>
    <mergeCell ref="A10:B10"/>
    <mergeCell ref="F10:G10"/>
    <mergeCell ref="F30:G30"/>
    <mergeCell ref="F22:G22"/>
  </mergeCells>
  <hyperlinks>
    <hyperlink ref="A9" r:id="rId1" xr:uid="{F7213B5C-135F-4D35-B31F-C40B8394438B}"/>
  </hyperlinks>
  <pageMargins left="0.7" right="0.7" top="0.75" bottom="0.75" header="0.3" footer="0.3"/>
  <pageSetup paperSize="9" orientation="portrait" r:id="rId2"/>
  <headerFooter>
    <oddFooter>&amp;L&amp;P&amp;R
Vytvořeno &amp;D</oddFooter>
  </headerFooter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3C36A4-2703-4BD3-8A85-24EF0A9E30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Nesahat</vt:lpstr>
      <vt:lpstr>Výpočet</vt:lpstr>
      <vt:lpstr>nabidka tisk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Wenglorz§</dc:creator>
  <cp:lastModifiedBy>David Ledvinka</cp:lastModifiedBy>
  <cp:lastPrinted>2025-09-16T11:30:24Z</cp:lastPrinted>
  <dcterms:created xsi:type="dcterms:W3CDTF">2025-09-08T09:54:54Z</dcterms:created>
  <dcterms:modified xsi:type="dcterms:W3CDTF">2025-10-20T14:38:22Z</dcterms:modified>
</cp:coreProperties>
</file>